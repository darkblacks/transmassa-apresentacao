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Área de Trabalho\Fechamentos Transmassa\Projeto_Transmassa\transmassa-apresentacao\public\data\"/>
    </mc:Choice>
  </mc:AlternateContent>
  <xr:revisionPtr revIDLastSave="0" documentId="13_ncr:1_{159DBF46-C202-4F72-B3C8-9D9FBAEE23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Custos_Gerenciais" sheetId="2" r:id="rId2"/>
    <sheet name="Pedagio_Detalhe" sheetId="3" r:id="rId3"/>
    <sheet name="Regr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</calcChain>
</file>

<file path=xl/sharedStrings.xml><?xml version="1.0" encoding="utf-8"?>
<sst xmlns="http://schemas.openxmlformats.org/spreadsheetml/2006/main" count="326" uniqueCount="141">
  <si>
    <t>Custos Auxiliares de Frota — Jan a Abr/2026</t>
  </si>
  <si>
    <t>Total considerado KPI</t>
  </si>
  <si>
    <t>Total DRE bruto</t>
  </si>
  <si>
    <t>Ajustes/Exclusões</t>
  </si>
  <si>
    <t>Mês</t>
  </si>
  <si>
    <t>Pedágio KPI</t>
  </si>
  <si>
    <t>Seguro de Carga</t>
  </si>
  <si>
    <t>Documentação/IPVA</t>
  </si>
  <si>
    <t>Gerenciamento de Riscos</t>
  </si>
  <si>
    <t>Total Considerado KPI</t>
  </si>
  <si>
    <t>Total DRE Bruto</t>
  </si>
  <si>
    <t>Ajuste/Exclusão</t>
  </si>
  <si>
    <t>Janeiro/2026</t>
  </si>
  <si>
    <t>Fevereiro/2026</t>
  </si>
  <si>
    <t>Março/2026</t>
  </si>
  <si>
    <t>Abril/2026</t>
  </si>
  <si>
    <t>TOTAL</t>
  </si>
  <si>
    <t>Observações técnicas</t>
  </si>
  <si>
    <t>1. Os valores são conectáveis por Mês, não por Placa. Não há vínculo confiável para ratear esses custos por veículo nesta etapa.
2. Pedágio de janeiro foi ajustado: DRE bruto de R$ 1.318.013,73 contém R$ 1.200.000,00 de parcelas futuras Sem Parar.
3. Pedágio de março foi tratado como preliminar: há indício de cobrança duplicada/duas competências; a fatura Sem Parar 36348 de R$ 121.500,00 foi separada para validação.
4. Seguro de carga, gerenciamento de riscos e IPVA foram considerados pelos valores informados no DRE, sem associação por placa.</t>
  </si>
  <si>
    <t>Conta</t>
  </si>
  <si>
    <t>Código</t>
  </si>
  <si>
    <t>Grupo DRE</t>
  </si>
  <si>
    <t>Classificação Gerencial</t>
  </si>
  <si>
    <t>Valor DRE</t>
  </si>
  <si>
    <t>Valor Considerado KPI</t>
  </si>
  <si>
    <t>Usar no KPI?</t>
  </si>
  <si>
    <t>Observação / Critério</t>
  </si>
  <si>
    <t>Pedágio</t>
  </si>
  <si>
    <t>2.5.3.3</t>
  </si>
  <si>
    <t>Despesas Fixas no DRE</t>
  </si>
  <si>
    <t>Variável operacional</t>
  </si>
  <si>
    <t>Sim, ajustado</t>
  </si>
  <si>
    <t>DRE cheio inclui R$ 1.200.000,00 de parcelas futuras Sem Parar; usar apenas pedágio operacional identificado/ressarcimentos do mês.</t>
  </si>
  <si>
    <t>2.5.10.1</t>
  </si>
  <si>
    <t>Custos Variáveis no DRE</t>
  </si>
  <si>
    <t>Variável / semi-variável</t>
  </si>
  <si>
    <t>Sim</t>
  </si>
  <si>
    <t>Valor do DRE considerado integralmente nesta versão.</t>
  </si>
  <si>
    <t>Documentação - IPVA</t>
  </si>
  <si>
    <t>2.5.11.1</t>
  </si>
  <si>
    <t>Fixo/Documentação</t>
  </si>
  <si>
    <t>Documentação vinculável à frota, mas ainda sem rateio por placa.</t>
  </si>
  <si>
    <t>2.5.10.2</t>
  </si>
  <si>
    <t>Sim, preliminar</t>
  </si>
  <si>
    <t>DRE inclui Sem Parar 36348 de R$ 121.500,00 que pode representar cobrança de outra competência. Valor considerado preliminar: R$ 126.899,10 + ressarcimentos informados.</t>
  </si>
  <si>
    <t>Não encontrado no DRE</t>
  </si>
  <si>
    <t>Conta IPVA não apareceu no DRE de abril informado.</t>
  </si>
  <si>
    <t>Cliente/Fornecedor</t>
  </si>
  <si>
    <t>Fatura</t>
  </si>
  <si>
    <t>Emissão</t>
  </si>
  <si>
    <t>Vencimento</t>
  </si>
  <si>
    <t>Valor</t>
  </si>
  <si>
    <t>Data Baixa</t>
  </si>
  <si>
    <t>Observações</t>
  </si>
  <si>
    <t>Classificação</t>
  </si>
  <si>
    <t>Comentário</t>
  </si>
  <si>
    <t>LUIS ABEL SILVEIRA DOS SANTOS</t>
  </si>
  <si>
    <t>32618</t>
  </si>
  <si>
    <t>12/01/2026</t>
  </si>
  <si>
    <t>15/01/2026</t>
  </si>
  <si>
    <t>08/12 A 08/01</t>
  </si>
  <si>
    <t>Ressarcimento / Terceiro</t>
  </si>
  <si>
    <t>Incluído como operacional preliminar</t>
  </si>
  <si>
    <t>VALDEMIR ALVES DA SILVA</t>
  </si>
  <si>
    <t>32998</t>
  </si>
  <si>
    <t>13/01/2026</t>
  </si>
  <si>
    <t>12/12 A 12/01</t>
  </si>
  <si>
    <t>ANTONIO MONTEIRO</t>
  </si>
  <si>
    <t>34451</t>
  </si>
  <si>
    <t>16/01/2026</t>
  </si>
  <si>
    <t>19/01/2026</t>
  </si>
  <si>
    <t>RESSARCIMENTOS DE PEDAGIOS 08/11 A 08/12.</t>
  </si>
  <si>
    <t>Sim/Validar</t>
  </si>
  <si>
    <t>Incluído no valor operacional preliminar, mas competência parece anterior</t>
  </si>
  <si>
    <t>SEM PARAR INSTITUICAO DE PAGAMENTO LTDA</t>
  </si>
  <si>
    <t>675794984</t>
  </si>
  <si>
    <t>23/01/2026</t>
  </si>
  <si>
    <t>29/01/2026</t>
  </si>
  <si>
    <t>30/01/2026</t>
  </si>
  <si>
    <t>DEB AUT SANTANDER</t>
  </si>
  <si>
    <t>Sem Parar Operacional</t>
  </si>
  <si>
    <t>Fatura operacional identificada</t>
  </si>
  <si>
    <t>p36347/5-12 a 12-12</t>
  </si>
  <si>
    <t>26/01/2026</t>
  </si>
  <si>
    <t>Mai-Dez/2026</t>
  </si>
  <si>
    <t>Parcelas futuras</t>
  </si>
  <si>
    <t>Não</t>
  </si>
  <si>
    <t>Excluir do KPI de janeiro</t>
  </si>
  <si>
    <t>Pedágio DRE agregado</t>
  </si>
  <si>
    <t>DRE agregado</t>
  </si>
  <si>
    <t>Sem abertura detalhada informada; valor considerado integralmente</t>
  </si>
  <si>
    <t>36348</t>
  </si>
  <si>
    <t>02/03/2026</t>
  </si>
  <si>
    <t>Sem Parar - possível outra competência</t>
  </si>
  <si>
    <t>Não/Validar</t>
  </si>
  <si>
    <t>Usuária indicou possível cobrança de 2 meses; excluído preliminarmente do KPI de março</t>
  </si>
  <si>
    <t>685236146</t>
  </si>
  <si>
    <t>23/03/2026</t>
  </si>
  <si>
    <t>27/03/2026</t>
  </si>
  <si>
    <t>30/03/2026</t>
  </si>
  <si>
    <t>Fatura operacional considerada</t>
  </si>
  <si>
    <t>43528</t>
  </si>
  <si>
    <t>09/03/2026</t>
  </si>
  <si>
    <t>16/03/2026</t>
  </si>
  <si>
    <t>16/02 a 28/02</t>
  </si>
  <si>
    <t>Incluído no valor operacional preliminar, mas competência parcial de fevereiro</t>
  </si>
  <si>
    <t>LUIZ GUSTAVO ACQUESTA PERDIGAO</t>
  </si>
  <si>
    <t>43789</t>
  </si>
  <si>
    <t>10/03/2026</t>
  </si>
  <si>
    <t>RESSARCIMENTO DE PEDAGIOS 08/02/2026 A 08/03/2026</t>
  </si>
  <si>
    <t>Incluído no valor operacional preliminar, competência parcial fevereiro/março</t>
  </si>
  <si>
    <t>44495</t>
  </si>
  <si>
    <t>13/03/2026</t>
  </si>
  <si>
    <t>RESSARCIMENTO DE PEDAGIOS 13/02 A 13/03</t>
  </si>
  <si>
    <t>45967</t>
  </si>
  <si>
    <t>RESSARCIMENTO DE PEDAGIOS 08/01 A 08/02</t>
  </si>
  <si>
    <t>SIDNEY ALVES TRANSPORTES</t>
  </si>
  <si>
    <t>47978</t>
  </si>
  <si>
    <t>31/03/2026</t>
  </si>
  <si>
    <t>01/04/2026</t>
  </si>
  <si>
    <t>RESSARCIMENTO DE PEDAGIOS 01/03 A 31/03</t>
  </si>
  <si>
    <t>Incluído no valor operacional preliminar</t>
  </si>
  <si>
    <t>Campo</t>
  </si>
  <si>
    <t>Regra</t>
  </si>
  <si>
    <t>Objetivo</t>
  </si>
  <si>
    <t>Arquivo auxiliar para conectar custos financeiros de DRE ao fechamento operacional Jan–Abr/2026 por Mês.</t>
  </si>
  <si>
    <t>Granularidade</t>
  </si>
  <si>
    <t>Mês. Estes custos não devem ser associados à placa nesta versão.</t>
  </si>
  <si>
    <t>Custos incluídos</t>
  </si>
  <si>
    <t>Pedágio, Seguro de Carga, Documentação/IPVA e Gerenciamento de Riscos.</t>
  </si>
  <si>
    <t>Usar Valor Considerado KPI. O Valor DRE bruto fica preservado para conciliação financeira.</t>
  </si>
  <si>
    <t>Janeiro/2026 - Pedágio</t>
  </si>
  <si>
    <t>Foram excluídas parcelas futuras do Sem Parar de R$ 1.200.000,00. Valor considerado: R$ 118.013,73.</t>
  </si>
  <si>
    <t>Março/2026 - Pedágio</t>
  </si>
  <si>
    <t>Fatura Sem Parar 36348 de R$ 121.500,00 foi separada para validação por possível cobrança de outra competência. Valor considerado preliminar: R$ 131.174,07.</t>
  </si>
  <si>
    <t>Uso recomendado</t>
  </si>
  <si>
    <t>Juntar à base consolidada por Mês para enriquecer a visão de custo geral, sem contaminar a análise por placa.</t>
  </si>
  <si>
    <t>Não incluído</t>
  </si>
  <si>
    <t>Custos administrativos, consultorias, energia, telefone, investimentos e saídas não operacionais.</t>
  </si>
  <si>
    <t>Pedágio(Sem Parar)</t>
  </si>
  <si>
    <t>DRE cheio inclui R$ 1.200.000,00 Separar só o Sem Parar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</si>
</sst>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24374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33B4AE"/>
      </patternFill>
    </fill>
    <fill>
      <patternFill patternType="solid">
        <fgColor rgb="FFD9F3F1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5" borderId="0" xfId="0" applyFont="1" applyFill="1"/>
    <xf numFmtId="164" fontId="3" fillId="5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Custos considerados por mês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Pedágio KPI</c:v>
          </c:tx>
          <c:invertIfNegative val="1"/>
          <c:cat>
            <c:strRef>
              <c:f>Dashboard!$A$6:$A$9</c:f>
              <c:strCache>
                <c:ptCount val="4"/>
                <c:pt idx="0">
                  <c:v>Janeiro/2026</c:v>
                </c:pt>
                <c:pt idx="1">
                  <c:v>Fevereiro/2026</c:v>
                </c:pt>
                <c:pt idx="2">
                  <c:v>Março/2026</c:v>
                </c:pt>
                <c:pt idx="3">
                  <c:v>Abril/2026</c:v>
                </c:pt>
              </c:strCache>
            </c:strRef>
          </c:cat>
          <c:val>
            <c:numRef>
              <c:f>Dashboard!$B$6:$B$9</c:f>
              <c:numCache>
                <c:formatCode>\R\$\ #,##0.00</c:formatCode>
                <c:ptCount val="4"/>
                <c:pt idx="0">
                  <c:v>118013.73</c:v>
                </c:pt>
                <c:pt idx="1">
                  <c:v>3755.09</c:v>
                </c:pt>
                <c:pt idx="2">
                  <c:v>131174.07</c:v>
                </c:pt>
                <c:pt idx="3">
                  <c:v>136465.65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7-43C1-8C87-27D9D1475E03}"/>
            </c:ext>
          </c:extLst>
        </c:ser>
        <c:ser>
          <c:idx val="1"/>
          <c:order val="1"/>
          <c:tx>
            <c:v>Seguro de Carga</c:v>
          </c:tx>
          <c:invertIfNegative val="1"/>
          <c:cat>
            <c:strRef>
              <c:f>Dashboard!$A$6:$A$9</c:f>
              <c:strCache>
                <c:ptCount val="4"/>
                <c:pt idx="0">
                  <c:v>Janeiro/2026</c:v>
                </c:pt>
                <c:pt idx="1">
                  <c:v>Fevereiro/2026</c:v>
                </c:pt>
                <c:pt idx="2">
                  <c:v>Março/2026</c:v>
                </c:pt>
                <c:pt idx="3">
                  <c:v>Abril/2026</c:v>
                </c:pt>
              </c:strCache>
            </c:strRef>
          </c:cat>
          <c:val>
            <c:numRef>
              <c:f>Dashboard!$C$6:$C$9</c:f>
              <c:numCache>
                <c:formatCode>\R\$\ #,##0.00</c:formatCode>
                <c:ptCount val="4"/>
                <c:pt idx="0">
                  <c:v>516607.52</c:v>
                </c:pt>
                <c:pt idx="1">
                  <c:v>31911.13</c:v>
                </c:pt>
                <c:pt idx="2">
                  <c:v>31270.959999999999</c:v>
                </c:pt>
                <c:pt idx="3">
                  <c:v>33595.43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7-43C1-8C87-27D9D1475E03}"/>
            </c:ext>
          </c:extLst>
        </c:ser>
        <c:ser>
          <c:idx val="2"/>
          <c:order val="2"/>
          <c:tx>
            <c:v>Documentação/IPVA</c:v>
          </c:tx>
          <c:invertIfNegative val="1"/>
          <c:cat>
            <c:strRef>
              <c:f>Dashboard!$A$6:$A$9</c:f>
              <c:strCache>
                <c:ptCount val="4"/>
                <c:pt idx="0">
                  <c:v>Janeiro/2026</c:v>
                </c:pt>
                <c:pt idx="1">
                  <c:v>Fevereiro/2026</c:v>
                </c:pt>
                <c:pt idx="2">
                  <c:v>Março/2026</c:v>
                </c:pt>
                <c:pt idx="3">
                  <c:v>Abril/2026</c:v>
                </c:pt>
              </c:strCache>
            </c:strRef>
          </c:cat>
          <c:val>
            <c:numRef>
              <c:f>Dashboard!$D$6:$D$9</c:f>
              <c:numCache>
                <c:formatCode>\R\$\ #,##0.00</c:formatCode>
                <c:ptCount val="4"/>
                <c:pt idx="0">
                  <c:v>23406.46</c:v>
                </c:pt>
                <c:pt idx="1">
                  <c:v>2742.45</c:v>
                </c:pt>
                <c:pt idx="2">
                  <c:v>154666.6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7-43C1-8C87-27D9D1475E03}"/>
            </c:ext>
          </c:extLst>
        </c:ser>
        <c:ser>
          <c:idx val="3"/>
          <c:order val="3"/>
          <c:tx>
            <c:v>Gerenciamento de Riscos</c:v>
          </c:tx>
          <c:invertIfNegative val="1"/>
          <c:cat>
            <c:strRef>
              <c:f>Dashboard!$A$6:$A$9</c:f>
              <c:strCache>
                <c:ptCount val="4"/>
                <c:pt idx="0">
                  <c:v>Janeiro/2026</c:v>
                </c:pt>
                <c:pt idx="1">
                  <c:v>Fevereiro/2026</c:v>
                </c:pt>
                <c:pt idx="2">
                  <c:v>Março/2026</c:v>
                </c:pt>
                <c:pt idx="3">
                  <c:v>Abril/2026</c:v>
                </c:pt>
              </c:strCache>
            </c:strRef>
          </c:cat>
          <c:val>
            <c:numRef>
              <c:f>Dashboard!$E$6:$E$9</c:f>
              <c:numCache>
                <c:formatCode>\R\$\ #,##0.00</c:formatCode>
                <c:ptCount val="4"/>
                <c:pt idx="0">
                  <c:v>500491.35</c:v>
                </c:pt>
                <c:pt idx="1">
                  <c:v>100079.96</c:v>
                </c:pt>
                <c:pt idx="2">
                  <c:v>81765.75</c:v>
                </c:pt>
                <c:pt idx="3">
                  <c:v>103806.45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7-43C1-8C87-27D9D1475E03}"/>
            </c:ext>
          </c:extLst>
        </c:ser>
        <c:ser>
          <c:idx val="4"/>
          <c:order val="4"/>
          <c:tx>
            <c:v>Total Considerado KPI</c:v>
          </c:tx>
          <c:invertIfNegative val="1"/>
          <c:cat>
            <c:strRef>
              <c:f>Dashboard!$A$6:$A$9</c:f>
              <c:strCache>
                <c:ptCount val="4"/>
                <c:pt idx="0">
                  <c:v>Janeiro/2026</c:v>
                </c:pt>
                <c:pt idx="1">
                  <c:v>Fevereiro/2026</c:v>
                </c:pt>
                <c:pt idx="2">
                  <c:v>Março/2026</c:v>
                </c:pt>
                <c:pt idx="3">
                  <c:v>Abril/2026</c:v>
                </c:pt>
              </c:strCache>
            </c:strRef>
          </c:cat>
          <c:val>
            <c:numRef>
              <c:f>Dashboard!$F$6:$F$9</c:f>
              <c:numCache>
                <c:formatCode>\R\$\ #,##0.00</c:formatCode>
                <c:ptCount val="4"/>
                <c:pt idx="0">
                  <c:v>1158519.06</c:v>
                </c:pt>
                <c:pt idx="1">
                  <c:v>138488.63</c:v>
                </c:pt>
                <c:pt idx="2">
                  <c:v>398877.38</c:v>
                </c:pt>
                <c:pt idx="3">
                  <c:v>273867.52999999997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7-43C1-8C87-27D9D147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oMensal" displayName="ResumoMensal" ref="A5:H9">
  <tableColumns count="8">
    <tableColumn id="1" xr3:uid="{00000000-0010-0000-0000-000001000000}" name="Mês"/>
    <tableColumn id="2" xr3:uid="{00000000-0010-0000-0000-000002000000}" name="Pedágio KPI"/>
    <tableColumn id="3" xr3:uid="{00000000-0010-0000-0000-000003000000}" name="Seguro de Carga"/>
    <tableColumn id="4" xr3:uid="{00000000-0010-0000-0000-000004000000}" name="Documentação/IPVA"/>
    <tableColumn id="5" xr3:uid="{00000000-0010-0000-0000-000005000000}" name="Gerenciamento de Riscos"/>
    <tableColumn id="6" xr3:uid="{00000000-0010-0000-0000-000006000000}" name="Total Considerado KPI"/>
    <tableColumn id="7" xr3:uid="{00000000-0010-0000-0000-000007000000}" name="Total DRE Bruto"/>
    <tableColumn id="8" xr3:uid="{00000000-0010-0000-0000-000008000000}" name="Ajuste/Exclus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sGerenciais" displayName="CustosGerenciais" ref="A1:I21">
  <autoFilter ref="A1:I21" xr:uid="{00000000-000C-0000-FFFF-FFFF01000000}">
    <filterColumn colId="1">
      <filters>
        <filter val="Pedágio"/>
        <filter val="Pedágio(Sem Parar)"/>
      </filters>
    </filterColumn>
  </autoFilter>
  <tableColumns count="9">
    <tableColumn id="1" xr3:uid="{00000000-0010-0000-0100-000001000000}" name="Mês"/>
    <tableColumn id="2" xr3:uid="{00000000-0010-0000-0100-000002000000}" name="Conta"/>
    <tableColumn id="3" xr3:uid="{00000000-0010-0000-0100-000003000000}" name="Código"/>
    <tableColumn id="4" xr3:uid="{00000000-0010-0000-0100-000004000000}" name="Grupo DRE"/>
    <tableColumn id="5" xr3:uid="{00000000-0010-0000-0100-000005000000}" name="Classificação Gerencial"/>
    <tableColumn id="6" xr3:uid="{00000000-0010-0000-0100-000006000000}" name="Valor DRE"/>
    <tableColumn id="7" xr3:uid="{00000000-0010-0000-0100-000007000000}" name="Valor Considerado KPI"/>
    <tableColumn id="8" xr3:uid="{00000000-0010-0000-0100-000008000000}" name="Usar no KPI?"/>
    <tableColumn id="9" xr3:uid="{00000000-0010-0000-0100-000009000000}" name="Observação / Crité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edagioDetalhe" displayName="PedagioDetalhe" ref="A1:K15">
  <tableColumns count="11">
    <tableColumn id="1" xr3:uid="{00000000-0010-0000-0200-000001000000}" name="Mês"/>
    <tableColumn id="2" xr3:uid="{00000000-0010-0000-0200-000002000000}" name="Cliente/Fornecedor"/>
    <tableColumn id="3" xr3:uid="{00000000-0010-0000-0200-000003000000}" name="Fatura"/>
    <tableColumn id="4" xr3:uid="{00000000-0010-0000-0200-000004000000}" name="Emissão"/>
    <tableColumn id="5" xr3:uid="{00000000-0010-0000-0200-000005000000}" name="Vencimento"/>
    <tableColumn id="6" xr3:uid="{00000000-0010-0000-0200-000006000000}" name="Valor"/>
    <tableColumn id="7" xr3:uid="{00000000-0010-0000-0200-000007000000}" name="Data Baixa"/>
    <tableColumn id="8" xr3:uid="{00000000-0010-0000-0200-000008000000}" name="Observações"/>
    <tableColumn id="9" xr3:uid="{00000000-0010-0000-0200-000009000000}" name="Classificação"/>
    <tableColumn id="10" xr3:uid="{00000000-0010-0000-0200-00000A000000}" name="Usar no KPI?"/>
    <tableColumn id="11" xr3:uid="{00000000-0010-0000-0200-00000B000000}" name="Comentá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rasTabela" displayName="RegrasTabela" ref="A1:B9">
  <tableColumns count="2">
    <tableColumn id="1" xr3:uid="{00000000-0010-0000-0300-000001000000}" name="Campo"/>
    <tableColumn id="2" xr3:uid="{00000000-0010-0000-0300-000002000000}" name="Reg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F28" sqref="F28"/>
    </sheetView>
  </sheetViews>
  <sheetFormatPr defaultRowHeight="14.25"/>
  <cols>
    <col min="1" max="1" width="140.125" customWidth="1"/>
    <col min="2" max="2" width="12.25" customWidth="1"/>
    <col min="3" max="3" width="15.75" customWidth="1"/>
    <col min="4" max="4" width="19.625" customWidth="1"/>
    <col min="5" max="5" width="23.25" customWidth="1"/>
    <col min="6" max="6" width="20.5" customWidth="1"/>
    <col min="7" max="7" width="17.5" customWidth="1"/>
    <col min="8" max="8" width="15.625" customWidth="1"/>
  </cols>
  <sheetData>
    <row r="1" spans="1:8" ht="18">
      <c r="A1" s="7" t="s">
        <v>0</v>
      </c>
      <c r="B1" s="8"/>
      <c r="C1" s="8"/>
      <c r="D1" s="8"/>
      <c r="E1" s="8"/>
      <c r="F1" s="8"/>
      <c r="G1" s="8"/>
      <c r="H1" s="8"/>
    </row>
    <row r="3" spans="1:8" ht="15">
      <c r="A3" s="3" t="s">
        <v>1</v>
      </c>
      <c r="B3" s="4">
        <v>1969752.6</v>
      </c>
      <c r="D3" s="3" t="s">
        <v>2</v>
      </c>
      <c r="E3" s="4">
        <v>3291252.6</v>
      </c>
      <c r="G3" s="3" t="s">
        <v>3</v>
      </c>
      <c r="H3" s="4">
        <v>1321500</v>
      </c>
    </row>
    <row r="5" spans="1:8" ht="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>
      <c r="A6" t="s">
        <v>12</v>
      </c>
      <c r="B6" s="2">
        <v>118013.73</v>
      </c>
      <c r="C6" s="2">
        <v>516607.52</v>
      </c>
      <c r="D6" s="2">
        <v>23406.46</v>
      </c>
      <c r="E6" s="2">
        <v>500491.35</v>
      </c>
      <c r="F6" s="2">
        <v>1158519.06</v>
      </c>
      <c r="G6" s="2">
        <v>2358519.06</v>
      </c>
      <c r="H6" s="2">
        <v>1200000</v>
      </c>
    </row>
    <row r="7" spans="1:8">
      <c r="A7" t="s">
        <v>13</v>
      </c>
      <c r="B7" s="2">
        <v>3755.09</v>
      </c>
      <c r="C7" s="2">
        <v>31911.13</v>
      </c>
      <c r="D7" s="2">
        <v>2742.45</v>
      </c>
      <c r="E7" s="2">
        <v>100079.96</v>
      </c>
      <c r="F7" s="2">
        <v>138488.63</v>
      </c>
      <c r="G7" s="2">
        <v>138488.63</v>
      </c>
      <c r="H7" s="2">
        <v>0</v>
      </c>
    </row>
    <row r="8" spans="1:8">
      <c r="A8" t="s">
        <v>14</v>
      </c>
      <c r="B8" s="2">
        <v>131174.07</v>
      </c>
      <c r="C8" s="2">
        <v>31270.959999999999</v>
      </c>
      <c r="D8" s="2">
        <v>154666.6</v>
      </c>
      <c r="E8" s="2">
        <v>81765.75</v>
      </c>
      <c r="F8" s="2">
        <v>398877.38</v>
      </c>
      <c r="G8" s="2">
        <v>520377.38</v>
      </c>
      <c r="H8" s="2">
        <v>121500</v>
      </c>
    </row>
    <row r="9" spans="1:8">
      <c r="A9" t="s">
        <v>15</v>
      </c>
      <c r="B9" s="2">
        <v>136465.65</v>
      </c>
      <c r="C9" s="2">
        <v>33595.43</v>
      </c>
      <c r="D9" s="2">
        <v>0</v>
      </c>
      <c r="E9" s="2">
        <v>103806.45</v>
      </c>
      <c r="F9" s="2">
        <v>273867.52999999997</v>
      </c>
      <c r="G9" s="2">
        <v>273867.52999999997</v>
      </c>
      <c r="H9" s="2">
        <v>0</v>
      </c>
    </row>
    <row r="11" spans="1:8" ht="15">
      <c r="A11" s="5" t="s">
        <v>16</v>
      </c>
      <c r="B11" s="6">
        <v>389408.54</v>
      </c>
      <c r="C11" s="6">
        <v>613385.04</v>
      </c>
      <c r="D11" s="6">
        <v>180815.51</v>
      </c>
      <c r="E11" s="6">
        <v>786143.51</v>
      </c>
      <c r="F11" s="6">
        <v>1969752.6</v>
      </c>
      <c r="G11" s="6">
        <v>3291252.6</v>
      </c>
      <c r="H11" s="6">
        <v>1321500</v>
      </c>
    </row>
    <row r="13" spans="1:8" ht="15">
      <c r="A13" s="9" t="s">
        <v>17</v>
      </c>
      <c r="B13" s="8"/>
      <c r="C13" s="8"/>
      <c r="D13" s="8"/>
      <c r="E13" s="8"/>
      <c r="F13" s="8"/>
      <c r="G13" s="8"/>
      <c r="H13" s="8"/>
    </row>
    <row r="14" spans="1:8" ht="35.1" customHeight="1">
      <c r="A14" s="10" t="s">
        <v>18</v>
      </c>
      <c r="B14" s="8"/>
      <c r="C14" s="8"/>
      <c r="D14" s="8"/>
      <c r="E14" s="8"/>
      <c r="F14" s="8"/>
      <c r="G14" s="8"/>
      <c r="H14" s="8"/>
    </row>
    <row r="15" spans="1:8" ht="35.1" customHeight="1">
      <c r="A15" s="8"/>
      <c r="B15" s="8"/>
      <c r="C15" s="8"/>
      <c r="D15" s="8"/>
      <c r="E15" s="8"/>
      <c r="F15" s="8"/>
      <c r="G15" s="8"/>
      <c r="H15" s="8"/>
    </row>
    <row r="16" spans="1:8" ht="35.1" customHeight="1">
      <c r="A16" s="8"/>
      <c r="B16" s="8"/>
      <c r="C16" s="8"/>
      <c r="D16" s="8"/>
      <c r="E16" s="8"/>
      <c r="F16" s="8"/>
      <c r="G16" s="8"/>
      <c r="H16" s="8"/>
    </row>
    <row r="17" spans="1:8" ht="35.1" customHeight="1">
      <c r="A17" s="8"/>
      <c r="B17" s="8"/>
      <c r="C17" s="8"/>
      <c r="D17" s="8"/>
      <c r="E17" s="8"/>
      <c r="F17" s="8"/>
      <c r="G17" s="8"/>
      <c r="H17" s="8"/>
    </row>
  </sheetData>
  <mergeCells count="3">
    <mergeCell ref="A1:H1"/>
    <mergeCell ref="A13:H13"/>
    <mergeCell ref="A14:H1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abSelected="1" workbookViewId="0">
      <selection activeCell="E34" sqref="E34"/>
    </sheetView>
  </sheetViews>
  <sheetFormatPr defaultRowHeight="14.25"/>
  <cols>
    <col min="1" max="1" width="12.25" customWidth="1"/>
    <col min="2" max="2" width="20.25" customWidth="1"/>
    <col min="3" max="3" width="8.25" customWidth="1"/>
    <col min="4" max="4" width="19" customWidth="1"/>
    <col min="5" max="5" width="21.125" customWidth="1"/>
    <col min="6" max="6" width="14.375" bestFit="1" customWidth="1"/>
    <col min="7" max="7" width="20.75" customWidth="1"/>
    <col min="8" max="8" width="21" bestFit="1" customWidth="1"/>
    <col min="9" max="9" width="149.625" bestFit="1" customWidth="1"/>
  </cols>
  <sheetData>
    <row r="1" spans="1:9" ht="30">
      <c r="A1" s="1" t="s">
        <v>4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12</v>
      </c>
      <c r="B2" t="s">
        <v>27</v>
      </c>
      <c r="C2" t="s">
        <v>28</v>
      </c>
      <c r="D2" t="s">
        <v>29</v>
      </c>
      <c r="E2" t="s">
        <v>30</v>
      </c>
      <c r="F2" s="2">
        <v>1318013.73</v>
      </c>
      <c r="G2" s="2">
        <v>2495.2399999999998</v>
      </c>
      <c r="H2" t="s">
        <v>31</v>
      </c>
      <c r="I2" t="s">
        <v>32</v>
      </c>
    </row>
    <row r="3" spans="1:9">
      <c r="A3" t="s">
        <v>12</v>
      </c>
      <c r="B3" t="s">
        <v>139</v>
      </c>
      <c r="C3" t="s">
        <v>28</v>
      </c>
      <c r="D3" t="s">
        <v>29</v>
      </c>
      <c r="E3" t="s">
        <v>30</v>
      </c>
      <c r="F3" s="2">
        <v>0</v>
      </c>
      <c r="G3" s="2">
        <v>1315518.49</v>
      </c>
      <c r="H3" t="s">
        <v>31</v>
      </c>
      <c r="I3" t="s">
        <v>140</v>
      </c>
    </row>
    <row r="4" spans="1:9" hidden="1">
      <c r="A4" t="s">
        <v>12</v>
      </c>
      <c r="B4" t="s">
        <v>6</v>
      </c>
      <c r="C4" t="s">
        <v>33</v>
      </c>
      <c r="D4" t="s">
        <v>34</v>
      </c>
      <c r="E4" t="s">
        <v>35</v>
      </c>
      <c r="F4" s="2">
        <v>516607.52</v>
      </c>
      <c r="G4" s="2">
        <v>516607.52</v>
      </c>
      <c r="H4" t="s">
        <v>36</v>
      </c>
      <c r="I4" t="s">
        <v>37</v>
      </c>
    </row>
    <row r="5" spans="1:9" hidden="1">
      <c r="A5" t="s">
        <v>12</v>
      </c>
      <c r="B5" t="s">
        <v>38</v>
      </c>
      <c r="C5" t="s">
        <v>39</v>
      </c>
      <c r="D5" t="s">
        <v>29</v>
      </c>
      <c r="E5" t="s">
        <v>40</v>
      </c>
      <c r="F5" s="2">
        <v>23406.46</v>
      </c>
      <c r="G5" s="2">
        <v>23406.46</v>
      </c>
      <c r="H5" t="s">
        <v>36</v>
      </c>
      <c r="I5" t="s">
        <v>41</v>
      </c>
    </row>
    <row r="6" spans="1:9" hidden="1">
      <c r="A6" t="s">
        <v>12</v>
      </c>
      <c r="B6" t="s">
        <v>8</v>
      </c>
      <c r="C6" t="s">
        <v>42</v>
      </c>
      <c r="D6" t="s">
        <v>34</v>
      </c>
      <c r="E6" t="s">
        <v>35</v>
      </c>
      <c r="F6" s="2">
        <v>500491.35</v>
      </c>
      <c r="G6" s="2">
        <v>500491.35</v>
      </c>
      <c r="H6" t="s">
        <v>36</v>
      </c>
      <c r="I6" t="s">
        <v>37</v>
      </c>
    </row>
    <row r="7" spans="1:9">
      <c r="A7" t="s">
        <v>13</v>
      </c>
      <c r="B7" t="s">
        <v>27</v>
      </c>
      <c r="C7" t="s">
        <v>28</v>
      </c>
      <c r="D7" t="s">
        <v>29</v>
      </c>
      <c r="E7" t="s">
        <v>30</v>
      </c>
      <c r="F7" s="2">
        <v>3755.09</v>
      </c>
      <c r="G7" s="2">
        <v>3755.09</v>
      </c>
      <c r="H7" t="s">
        <v>36</v>
      </c>
      <c r="I7" t="s">
        <v>37</v>
      </c>
    </row>
    <row r="8" spans="1:9">
      <c r="A8" t="s">
        <v>13</v>
      </c>
      <c r="B8" t="s">
        <v>139</v>
      </c>
      <c r="C8" t="s">
        <v>28</v>
      </c>
      <c r="D8" t="s">
        <v>29</v>
      </c>
      <c r="E8" t="s">
        <v>30</v>
      </c>
      <c r="F8" s="2">
        <v>0</v>
      </c>
      <c r="G8" s="2">
        <v>0</v>
      </c>
      <c r="H8" t="s">
        <v>31</v>
      </c>
      <c r="I8" t="s">
        <v>140</v>
      </c>
    </row>
    <row r="9" spans="1:9" hidden="1">
      <c r="A9" t="s">
        <v>13</v>
      </c>
      <c r="B9" t="s">
        <v>6</v>
      </c>
      <c r="C9" t="s">
        <v>33</v>
      </c>
      <c r="D9" t="s">
        <v>34</v>
      </c>
      <c r="E9" t="s">
        <v>35</v>
      </c>
      <c r="F9" s="2">
        <v>31911.13</v>
      </c>
      <c r="G9" s="2">
        <v>31911.13</v>
      </c>
      <c r="H9" t="s">
        <v>36</v>
      </c>
      <c r="I9" t="s">
        <v>37</v>
      </c>
    </row>
    <row r="10" spans="1:9" hidden="1">
      <c r="A10" t="s">
        <v>13</v>
      </c>
      <c r="B10" t="s">
        <v>38</v>
      </c>
      <c r="C10" t="s">
        <v>39</v>
      </c>
      <c r="D10" t="s">
        <v>29</v>
      </c>
      <c r="E10" t="s">
        <v>40</v>
      </c>
      <c r="F10" s="2">
        <v>2742.45</v>
      </c>
      <c r="G10" s="2">
        <v>2742.45</v>
      </c>
      <c r="H10" t="s">
        <v>36</v>
      </c>
      <c r="I10" t="s">
        <v>41</v>
      </c>
    </row>
    <row r="11" spans="1:9" hidden="1">
      <c r="A11" t="s">
        <v>13</v>
      </c>
      <c r="B11" t="s">
        <v>8</v>
      </c>
      <c r="C11" t="s">
        <v>42</v>
      </c>
      <c r="D11" t="s">
        <v>34</v>
      </c>
      <c r="E11" t="s">
        <v>35</v>
      </c>
      <c r="F11" s="2">
        <v>100079.96</v>
      </c>
      <c r="G11" s="2">
        <v>100079.96</v>
      </c>
      <c r="H11" t="s">
        <v>36</v>
      </c>
      <c r="I11" t="s">
        <v>37</v>
      </c>
    </row>
    <row r="12" spans="1:9">
      <c r="A12" t="s">
        <v>14</v>
      </c>
      <c r="B12" t="s">
        <v>27</v>
      </c>
      <c r="C12" t="s">
        <v>28</v>
      </c>
      <c r="D12" t="s">
        <v>29</v>
      </c>
      <c r="E12" t="s">
        <v>30</v>
      </c>
      <c r="F12" s="2">
        <v>252674.07</v>
      </c>
      <c r="G12" s="2">
        <v>4274.9700000000012</v>
      </c>
      <c r="H12" t="s">
        <v>43</v>
      </c>
      <c r="I12" t="s">
        <v>44</v>
      </c>
    </row>
    <row r="13" spans="1:9">
      <c r="A13" t="s">
        <v>14</v>
      </c>
      <c r="B13" t="s">
        <v>139</v>
      </c>
      <c r="C13" t="s">
        <v>28</v>
      </c>
      <c r="D13" t="s">
        <v>29</v>
      </c>
      <c r="E13" t="s">
        <v>30</v>
      </c>
      <c r="F13" s="2">
        <v>0</v>
      </c>
      <c r="G13" s="2">
        <v>248399.1</v>
      </c>
      <c r="H13" t="s">
        <v>31</v>
      </c>
      <c r="I13" t="s">
        <v>140</v>
      </c>
    </row>
    <row r="14" spans="1:9" hidden="1">
      <c r="A14" t="s">
        <v>14</v>
      </c>
      <c r="B14" t="s">
        <v>6</v>
      </c>
      <c r="C14" t="s">
        <v>33</v>
      </c>
      <c r="D14" t="s">
        <v>34</v>
      </c>
      <c r="E14" t="s">
        <v>35</v>
      </c>
      <c r="F14" s="2">
        <v>31270.959999999999</v>
      </c>
      <c r="G14" s="2">
        <v>31270.959999999999</v>
      </c>
      <c r="H14" t="s">
        <v>36</v>
      </c>
      <c r="I14" t="s">
        <v>37</v>
      </c>
    </row>
    <row r="15" spans="1:9" hidden="1">
      <c r="A15" t="s">
        <v>14</v>
      </c>
      <c r="B15" t="s">
        <v>38</v>
      </c>
      <c r="C15" t="s">
        <v>39</v>
      </c>
      <c r="D15" t="s">
        <v>29</v>
      </c>
      <c r="E15" t="s">
        <v>40</v>
      </c>
      <c r="F15" s="2">
        <v>154666.6</v>
      </c>
      <c r="G15" s="2">
        <v>154666.6</v>
      </c>
      <c r="H15" t="s">
        <v>36</v>
      </c>
      <c r="I15" t="s">
        <v>41</v>
      </c>
    </row>
    <row r="16" spans="1:9" hidden="1">
      <c r="A16" t="s">
        <v>14</v>
      </c>
      <c r="B16" t="s">
        <v>8</v>
      </c>
      <c r="C16" t="s">
        <v>42</v>
      </c>
      <c r="D16" t="s">
        <v>34</v>
      </c>
      <c r="E16" t="s">
        <v>35</v>
      </c>
      <c r="F16" s="2">
        <v>81765.75</v>
      </c>
      <c r="G16" s="2">
        <v>81765.75</v>
      </c>
      <c r="H16" t="s">
        <v>36</v>
      </c>
      <c r="I16" t="s">
        <v>37</v>
      </c>
    </row>
    <row r="17" spans="1:9">
      <c r="A17" t="s">
        <v>15</v>
      </c>
      <c r="B17" t="s">
        <v>27</v>
      </c>
      <c r="C17" t="s">
        <v>28</v>
      </c>
      <c r="D17" t="s">
        <v>29</v>
      </c>
      <c r="E17" t="s">
        <v>30</v>
      </c>
      <c r="F17" s="2">
        <v>136465.65</v>
      </c>
      <c r="G17" s="2">
        <v>4728.5599999999977</v>
      </c>
      <c r="H17" t="s">
        <v>36</v>
      </c>
      <c r="I17" t="s">
        <v>37</v>
      </c>
    </row>
    <row r="18" spans="1:9">
      <c r="A18" t="s">
        <v>15</v>
      </c>
      <c r="B18" t="s">
        <v>139</v>
      </c>
      <c r="C18" t="s">
        <v>28</v>
      </c>
      <c r="D18" t="s">
        <v>29</v>
      </c>
      <c r="E18" t="s">
        <v>30</v>
      </c>
      <c r="F18" s="2">
        <v>0</v>
      </c>
      <c r="G18" s="2">
        <v>131737.09</v>
      </c>
      <c r="H18" t="s">
        <v>31</v>
      </c>
      <c r="I18" t="s">
        <v>140</v>
      </c>
    </row>
    <row r="19" spans="1:9" hidden="1">
      <c r="A19" t="s">
        <v>15</v>
      </c>
      <c r="B19" t="s">
        <v>6</v>
      </c>
      <c r="C19" t="s">
        <v>33</v>
      </c>
      <c r="D19" t="s">
        <v>34</v>
      </c>
      <c r="E19" t="s">
        <v>35</v>
      </c>
      <c r="F19" s="2">
        <v>33595.43</v>
      </c>
      <c r="G19" s="2">
        <v>33595.43</v>
      </c>
      <c r="H19" t="s">
        <v>36</v>
      </c>
      <c r="I19" t="s">
        <v>37</v>
      </c>
    </row>
    <row r="20" spans="1:9" hidden="1">
      <c r="A20" t="s">
        <v>15</v>
      </c>
      <c r="B20" t="s">
        <v>38</v>
      </c>
      <c r="C20" t="s">
        <v>39</v>
      </c>
      <c r="D20" t="s">
        <v>29</v>
      </c>
      <c r="E20" t="s">
        <v>40</v>
      </c>
      <c r="F20" s="2">
        <v>0</v>
      </c>
      <c r="G20" s="2">
        <v>0</v>
      </c>
      <c r="H20" t="s">
        <v>45</v>
      </c>
      <c r="I20" t="s">
        <v>46</v>
      </c>
    </row>
    <row r="21" spans="1:9" hidden="1">
      <c r="A21" t="s">
        <v>15</v>
      </c>
      <c r="B21" t="s">
        <v>8</v>
      </c>
      <c r="C21" t="s">
        <v>42</v>
      </c>
      <c r="D21" t="s">
        <v>34</v>
      </c>
      <c r="E21" t="s">
        <v>35</v>
      </c>
      <c r="F21" s="2">
        <v>103806.45</v>
      </c>
      <c r="G21" s="2">
        <v>103806.45</v>
      </c>
      <c r="H21" t="s">
        <v>36</v>
      </c>
      <c r="I21" t="s">
        <v>37</v>
      </c>
    </row>
    <row r="26" spans="1:9">
      <c r="G26" s="11">
        <v>121500</v>
      </c>
      <c r="I26" s="11">
        <f>G17-I27</f>
        <v>-127008.53</v>
      </c>
    </row>
    <row r="27" spans="1:9">
      <c r="G27" s="11">
        <v>126899.1</v>
      </c>
      <c r="I27" s="11">
        <v>131737.09</v>
      </c>
    </row>
    <row r="28" spans="1:9">
      <c r="G28" s="11"/>
    </row>
    <row r="29" spans="1:9">
      <c r="F29" s="11"/>
      <c r="G29" s="11"/>
    </row>
    <row r="30" spans="1:9">
      <c r="G30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G33" sqref="G33"/>
    </sheetView>
  </sheetViews>
  <sheetFormatPr defaultRowHeight="14.25"/>
  <cols>
    <col min="1" max="1" width="12.25" customWidth="1"/>
    <col min="2" max="2" width="38" customWidth="1"/>
    <col min="3" max="3" width="16.875" customWidth="1"/>
    <col min="4" max="4" width="9.375" customWidth="1"/>
    <col min="5" max="5" width="12.375" customWidth="1"/>
    <col min="6" max="6" width="8.5" customWidth="1"/>
    <col min="7" max="7" width="11.25" customWidth="1"/>
    <col min="8" max="8" width="40" customWidth="1"/>
    <col min="9" max="9" width="31.5" customWidth="1"/>
    <col min="10" max="10" width="12.875" customWidth="1"/>
    <col min="11" max="11" width="44" customWidth="1"/>
  </cols>
  <sheetData>
    <row r="1" spans="1:11" ht="15">
      <c r="A1" s="1" t="s">
        <v>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25</v>
      </c>
      <c r="K1" s="1" t="s">
        <v>55</v>
      </c>
    </row>
    <row r="2" spans="1:11">
      <c r="A2" t="s">
        <v>12</v>
      </c>
      <c r="B2" t="s">
        <v>56</v>
      </c>
      <c r="C2" t="s">
        <v>57</v>
      </c>
      <c r="D2" t="s">
        <v>58</v>
      </c>
      <c r="E2" t="s">
        <v>59</v>
      </c>
      <c r="F2" s="2">
        <v>1128.3</v>
      </c>
      <c r="G2" t="s">
        <v>59</v>
      </c>
      <c r="H2" t="s">
        <v>60</v>
      </c>
      <c r="I2" t="s">
        <v>61</v>
      </c>
      <c r="J2" t="s">
        <v>36</v>
      </c>
      <c r="K2" t="s">
        <v>62</v>
      </c>
    </row>
    <row r="3" spans="1:11">
      <c r="A3" t="s">
        <v>12</v>
      </c>
      <c r="B3" t="s">
        <v>63</v>
      </c>
      <c r="C3" t="s">
        <v>64</v>
      </c>
      <c r="D3" t="s">
        <v>65</v>
      </c>
      <c r="E3" t="s">
        <v>59</v>
      </c>
      <c r="F3" s="2">
        <v>831.92</v>
      </c>
      <c r="G3" t="s">
        <v>59</v>
      </c>
      <c r="H3" t="s">
        <v>66</v>
      </c>
      <c r="I3" t="s">
        <v>61</v>
      </c>
      <c r="J3" t="s">
        <v>36</v>
      </c>
      <c r="K3" t="s">
        <v>62</v>
      </c>
    </row>
    <row r="4" spans="1:11">
      <c r="A4" t="s">
        <v>12</v>
      </c>
      <c r="B4" t="s">
        <v>67</v>
      </c>
      <c r="C4" t="s">
        <v>68</v>
      </c>
      <c r="D4" t="s">
        <v>69</v>
      </c>
      <c r="E4" t="s">
        <v>70</v>
      </c>
      <c r="F4" s="2">
        <v>535.02</v>
      </c>
      <c r="G4" t="s">
        <v>70</v>
      </c>
      <c r="H4" t="s">
        <v>71</v>
      </c>
      <c r="I4" t="s">
        <v>61</v>
      </c>
      <c r="J4" t="s">
        <v>72</v>
      </c>
      <c r="K4" t="s">
        <v>73</v>
      </c>
    </row>
    <row r="5" spans="1:11">
      <c r="A5" t="s">
        <v>12</v>
      </c>
      <c r="B5" t="s">
        <v>74</v>
      </c>
      <c r="C5" t="s">
        <v>75</v>
      </c>
      <c r="D5" t="s">
        <v>76</v>
      </c>
      <c r="E5" t="s">
        <v>77</v>
      </c>
      <c r="F5" s="2">
        <v>115518.49</v>
      </c>
      <c r="G5" t="s">
        <v>78</v>
      </c>
      <c r="H5" t="s">
        <v>79</v>
      </c>
      <c r="I5" t="s">
        <v>80</v>
      </c>
      <c r="J5" t="s">
        <v>36</v>
      </c>
      <c r="K5" t="s">
        <v>81</v>
      </c>
    </row>
    <row r="6" spans="1:11">
      <c r="A6" t="s">
        <v>12</v>
      </c>
      <c r="B6" t="s">
        <v>74</v>
      </c>
      <c r="C6" t="s">
        <v>82</v>
      </c>
      <c r="D6" t="s">
        <v>83</v>
      </c>
      <c r="E6" t="s">
        <v>84</v>
      </c>
      <c r="F6" s="2">
        <v>1200000</v>
      </c>
      <c r="H6" t="s">
        <v>79</v>
      </c>
      <c r="I6" t="s">
        <v>85</v>
      </c>
      <c r="J6" t="s">
        <v>86</v>
      </c>
      <c r="K6" t="s">
        <v>87</v>
      </c>
    </row>
    <row r="7" spans="1:11">
      <c r="A7" t="s">
        <v>13</v>
      </c>
      <c r="B7" t="s">
        <v>88</v>
      </c>
      <c r="F7" s="2">
        <v>3755.09</v>
      </c>
      <c r="I7" t="s">
        <v>89</v>
      </c>
      <c r="J7" t="s">
        <v>36</v>
      </c>
      <c r="K7" t="s">
        <v>90</v>
      </c>
    </row>
    <row r="8" spans="1:11">
      <c r="A8" t="s">
        <v>14</v>
      </c>
      <c r="B8" t="s">
        <v>74</v>
      </c>
      <c r="C8" t="s">
        <v>91</v>
      </c>
      <c r="D8" t="s">
        <v>92</v>
      </c>
      <c r="E8" t="s">
        <v>92</v>
      </c>
      <c r="F8" s="2">
        <v>121500</v>
      </c>
      <c r="G8" t="s">
        <v>92</v>
      </c>
      <c r="H8" t="s">
        <v>79</v>
      </c>
      <c r="I8" t="s">
        <v>93</v>
      </c>
      <c r="J8" t="s">
        <v>94</v>
      </c>
      <c r="K8" t="s">
        <v>95</v>
      </c>
    </row>
    <row r="9" spans="1:11">
      <c r="A9" t="s">
        <v>14</v>
      </c>
      <c r="B9" t="s">
        <v>74</v>
      </c>
      <c r="C9" t="s">
        <v>96</v>
      </c>
      <c r="D9" t="s">
        <v>97</v>
      </c>
      <c r="E9" t="s">
        <v>98</v>
      </c>
      <c r="F9" s="2">
        <v>126899.1</v>
      </c>
      <c r="G9" t="s">
        <v>99</v>
      </c>
      <c r="H9" t="s">
        <v>79</v>
      </c>
      <c r="I9" t="s">
        <v>80</v>
      </c>
      <c r="J9" t="s">
        <v>36</v>
      </c>
      <c r="K9" t="s">
        <v>100</v>
      </c>
    </row>
    <row r="10" spans="1:11">
      <c r="A10" t="s">
        <v>14</v>
      </c>
      <c r="B10" t="s">
        <v>56</v>
      </c>
      <c r="C10" t="s">
        <v>101</v>
      </c>
      <c r="D10" t="s">
        <v>102</v>
      </c>
      <c r="E10" t="s">
        <v>103</v>
      </c>
      <c r="F10" s="2">
        <v>882.18</v>
      </c>
      <c r="G10" t="s">
        <v>103</v>
      </c>
      <c r="H10" t="s">
        <v>104</v>
      </c>
      <c r="I10" t="s">
        <v>61</v>
      </c>
      <c r="J10" t="s">
        <v>72</v>
      </c>
      <c r="K10" t="s">
        <v>105</v>
      </c>
    </row>
    <row r="11" spans="1:11">
      <c r="A11" t="s">
        <v>14</v>
      </c>
      <c r="B11" t="s">
        <v>106</v>
      </c>
      <c r="C11" t="s">
        <v>107</v>
      </c>
      <c r="D11" t="s">
        <v>108</v>
      </c>
      <c r="E11" t="s">
        <v>103</v>
      </c>
      <c r="F11" s="2">
        <v>547.38</v>
      </c>
      <c r="G11" t="s">
        <v>103</v>
      </c>
      <c r="H11" t="s">
        <v>109</v>
      </c>
      <c r="I11" t="s">
        <v>61</v>
      </c>
      <c r="J11" t="s">
        <v>72</v>
      </c>
      <c r="K11" t="s">
        <v>110</v>
      </c>
    </row>
    <row r="12" spans="1:11">
      <c r="A12" t="s">
        <v>14</v>
      </c>
      <c r="B12" t="s">
        <v>63</v>
      </c>
      <c r="C12" t="s">
        <v>111</v>
      </c>
      <c r="D12" t="s">
        <v>112</v>
      </c>
      <c r="E12" t="s">
        <v>103</v>
      </c>
      <c r="F12" s="2">
        <v>873</v>
      </c>
      <c r="G12" t="s">
        <v>103</v>
      </c>
      <c r="H12" t="s">
        <v>113</v>
      </c>
      <c r="I12" t="s">
        <v>61</v>
      </c>
      <c r="J12" t="s">
        <v>72</v>
      </c>
      <c r="K12" t="s">
        <v>110</v>
      </c>
    </row>
    <row r="13" spans="1:11">
      <c r="A13" t="s">
        <v>14</v>
      </c>
      <c r="B13" t="s">
        <v>67</v>
      </c>
      <c r="C13" t="s">
        <v>114</v>
      </c>
      <c r="D13" t="s">
        <v>97</v>
      </c>
      <c r="E13" t="s">
        <v>98</v>
      </c>
      <c r="F13" s="2">
        <v>752.11</v>
      </c>
      <c r="G13" t="s">
        <v>98</v>
      </c>
      <c r="H13" t="s">
        <v>115</v>
      </c>
      <c r="I13" t="s">
        <v>61</v>
      </c>
      <c r="J13" t="s">
        <v>72</v>
      </c>
      <c r="K13" t="s">
        <v>73</v>
      </c>
    </row>
    <row r="14" spans="1:11">
      <c r="A14" t="s">
        <v>14</v>
      </c>
      <c r="B14" t="s">
        <v>116</v>
      </c>
      <c r="C14" t="s">
        <v>117</v>
      </c>
      <c r="D14" t="s">
        <v>118</v>
      </c>
      <c r="E14" t="s">
        <v>119</v>
      </c>
      <c r="F14" s="2">
        <v>1220.3</v>
      </c>
      <c r="G14" t="s">
        <v>119</v>
      </c>
      <c r="H14" t="s">
        <v>120</v>
      </c>
      <c r="I14" t="s">
        <v>61</v>
      </c>
      <c r="J14" t="s">
        <v>36</v>
      </c>
      <c r="K14" t="s">
        <v>121</v>
      </c>
    </row>
    <row r="15" spans="1:11">
      <c r="A15" t="s">
        <v>15</v>
      </c>
      <c r="B15" t="s">
        <v>88</v>
      </c>
      <c r="F15" s="2">
        <v>136465.65</v>
      </c>
      <c r="I15" t="s">
        <v>89</v>
      </c>
      <c r="J15" t="s">
        <v>36</v>
      </c>
      <c r="K15" t="s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25"/>
  <cols>
    <col min="1" max="1" width="18.25" customWidth="1"/>
    <col min="2" max="2" width="70" customWidth="1"/>
  </cols>
  <sheetData>
    <row r="1" spans="1:2" ht="15">
      <c r="A1" s="1" t="s">
        <v>122</v>
      </c>
      <c r="B1" s="1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129</v>
      </c>
    </row>
    <row r="5" spans="1:2">
      <c r="A5" t="s">
        <v>27</v>
      </c>
      <c r="B5" t="s">
        <v>130</v>
      </c>
    </row>
    <row r="6" spans="1:2">
      <c r="A6" t="s">
        <v>131</v>
      </c>
      <c r="B6" t="s">
        <v>132</v>
      </c>
    </row>
    <row r="7" spans="1:2">
      <c r="A7" t="s">
        <v>133</v>
      </c>
      <c r="B7" t="s">
        <v>134</v>
      </c>
    </row>
    <row r="8" spans="1:2">
      <c r="A8" t="s">
        <v>135</v>
      </c>
      <c r="B8" t="s">
        <v>136</v>
      </c>
    </row>
    <row r="9" spans="1:2">
      <c r="A9" t="s">
        <v>137</v>
      </c>
      <c r="B9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Custos_Gerenciais</vt:lpstr>
      <vt:lpstr>Pedagio_Detalhe</vt:lpstr>
      <vt:lpstr>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DRIELLY FIGUEIREDO</cp:lastModifiedBy>
  <dcterms:modified xsi:type="dcterms:W3CDTF">2026-05-07T21:25:59Z</dcterms:modified>
</cp:coreProperties>
</file>